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\AMFI\AMFI Best Practice Circulars\"/>
    </mc:Choice>
  </mc:AlternateContent>
  <xr:revisionPtr revIDLastSave="0" documentId="13_ncr:1_{93356B68-DD0D-4DC7-A588-C5D5CA5C3689}" xr6:coauthVersionLast="47" xr6:coauthVersionMax="47" xr10:uidLastSave="{00000000-0000-0000-0000-000000000000}"/>
  <bookViews>
    <workbookView xWindow="-108" yWindow="-108" windowWidth="23256" windowHeight="12576" xr2:uid="{6A8E0FC5-E41E-47C5-B72D-C8DE615FB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71" i="1" l="1"/>
  <c r="M71" i="1"/>
  <c r="L71" i="1"/>
  <c r="K71" i="1"/>
  <c r="J71" i="1"/>
  <c r="N66" i="1"/>
  <c r="M66" i="1"/>
  <c r="I66" i="1"/>
  <c r="M65" i="1"/>
  <c r="N65" i="1" s="1"/>
  <c r="I65" i="1"/>
  <c r="M64" i="1"/>
  <c r="N64" i="1" s="1"/>
  <c r="I64" i="1"/>
  <c r="N63" i="1"/>
  <c r="M63" i="1"/>
  <c r="I63" i="1"/>
  <c r="N62" i="1"/>
  <c r="M62" i="1"/>
  <c r="I62" i="1"/>
  <c r="M61" i="1"/>
  <c r="N61" i="1" s="1"/>
  <c r="K56" i="1"/>
  <c r="N55" i="1"/>
  <c r="M55" i="1"/>
  <c r="L55" i="1"/>
  <c r="K55" i="1"/>
  <c r="M54" i="1"/>
  <c r="J54" i="1"/>
  <c r="I54" i="1"/>
  <c r="N53" i="1"/>
  <c r="M53" i="1"/>
  <c r="O51" i="1"/>
  <c r="N51" i="1"/>
  <c r="M51" i="1"/>
  <c r="L51" i="1"/>
  <c r="K51" i="1"/>
  <c r="J51" i="1"/>
  <c r="N47" i="1"/>
  <c r="M47" i="1"/>
  <c r="L47" i="1"/>
  <c r="K47" i="1"/>
  <c r="J47" i="1"/>
  <c r="P47" i="1" s="1"/>
  <c r="O46" i="1"/>
  <c r="I46" i="1"/>
  <c r="N56" i="1" s="1"/>
  <c r="O45" i="1"/>
  <c r="I45" i="1"/>
  <c r="J55" i="1" s="1"/>
  <c r="O55" i="1" s="1"/>
  <c r="O44" i="1"/>
  <c r="I44" i="1"/>
  <c r="N54" i="1" s="1"/>
  <c r="O43" i="1"/>
  <c r="I43" i="1"/>
  <c r="L53" i="1" s="1"/>
  <c r="O42" i="1"/>
  <c r="I42" i="1"/>
  <c r="I52" i="1" s="1"/>
  <c r="O41" i="1"/>
  <c r="O47" i="1" s="1"/>
  <c r="N35" i="1"/>
  <c r="M35" i="1"/>
  <c r="L35" i="1"/>
  <c r="K35" i="1"/>
  <c r="J35" i="1"/>
  <c r="L31" i="1"/>
  <c r="K31" i="1"/>
  <c r="M30" i="1"/>
  <c r="N30" i="1" s="1"/>
  <c r="I30" i="1"/>
  <c r="N29" i="1"/>
  <c r="M29" i="1"/>
  <c r="I29" i="1"/>
  <c r="M28" i="1"/>
  <c r="N28" i="1" s="1"/>
  <c r="I28" i="1"/>
  <c r="M27" i="1"/>
  <c r="M31" i="1" s="1"/>
  <c r="I27" i="1"/>
  <c r="K67" i="1" s="1"/>
  <c r="M26" i="1"/>
  <c r="N26" i="1" s="1"/>
  <c r="I26" i="1"/>
  <c r="N25" i="1"/>
  <c r="M25" i="1"/>
  <c r="L20" i="1"/>
  <c r="J20" i="1"/>
  <c r="I20" i="1"/>
  <c r="N19" i="1"/>
  <c r="M19" i="1"/>
  <c r="L19" i="1"/>
  <c r="K19" i="1"/>
  <c r="N18" i="1"/>
  <c r="K18" i="1"/>
  <c r="J18" i="1"/>
  <c r="I18" i="1"/>
  <c r="N17" i="1"/>
  <c r="M17" i="1"/>
  <c r="I16" i="1"/>
  <c r="O15" i="1"/>
  <c r="N15" i="1"/>
  <c r="M15" i="1"/>
  <c r="L15" i="1"/>
  <c r="K15" i="1"/>
  <c r="J15" i="1"/>
  <c r="N11" i="1"/>
  <c r="M11" i="1"/>
  <c r="L11" i="1"/>
  <c r="K11" i="1"/>
  <c r="J11" i="1"/>
  <c r="P11" i="1" s="1"/>
  <c r="O10" i="1"/>
  <c r="I10" i="1"/>
  <c r="N20" i="1" s="1"/>
  <c r="O9" i="1"/>
  <c r="I9" i="1"/>
  <c r="J19" i="1" s="1"/>
  <c r="O19" i="1" s="1"/>
  <c r="O8" i="1"/>
  <c r="I8" i="1"/>
  <c r="M18" i="1" s="1"/>
  <c r="O7" i="1"/>
  <c r="I7" i="1"/>
  <c r="L17" i="1" s="1"/>
  <c r="O6" i="1"/>
  <c r="I6" i="1"/>
  <c r="K16" i="1" s="1"/>
  <c r="O5" i="1"/>
  <c r="O11" i="1" s="1"/>
  <c r="O18" i="1" l="1"/>
  <c r="J16" i="1"/>
  <c r="N27" i="1"/>
  <c r="N31" i="1" s="1"/>
  <c r="M67" i="1"/>
  <c r="M16" i="1"/>
  <c r="M21" i="1" s="1"/>
  <c r="N16" i="1"/>
  <c r="N21" i="1" s="1"/>
  <c r="M52" i="1"/>
  <c r="M57" i="1" s="1"/>
  <c r="K54" i="1"/>
  <c r="I56" i="1"/>
  <c r="L67" i="1"/>
  <c r="L16" i="1"/>
  <c r="L21" i="1" s="1"/>
  <c r="N67" i="1"/>
  <c r="L18" i="1"/>
  <c r="K20" i="1"/>
  <c r="O20" i="1" s="1"/>
  <c r="N52" i="1"/>
  <c r="N57" i="1" s="1"/>
  <c r="L54" i="1"/>
  <c r="O54" i="1" s="1"/>
  <c r="J56" i="1"/>
  <c r="O56" i="1" s="1"/>
  <c r="I17" i="1"/>
  <c r="J17" i="1"/>
  <c r="O17" i="1" s="1"/>
  <c r="M20" i="1"/>
  <c r="I53" i="1"/>
  <c r="L56" i="1"/>
  <c r="J52" i="1"/>
  <c r="K17" i="1"/>
  <c r="K21" i="1" s="1"/>
  <c r="I19" i="1"/>
  <c r="J53" i="1"/>
  <c r="M56" i="1"/>
  <c r="K52" i="1"/>
  <c r="L52" i="1"/>
  <c r="L57" i="1" s="1"/>
  <c r="K53" i="1"/>
  <c r="I55" i="1"/>
  <c r="J31" i="1"/>
  <c r="J67" i="1"/>
  <c r="O53" i="1" l="1"/>
  <c r="J21" i="1"/>
  <c r="P21" i="1" s="1"/>
  <c r="O16" i="1"/>
  <c r="O21" i="1" s="1"/>
  <c r="K57" i="1"/>
  <c r="J57" i="1"/>
  <c r="O52" i="1"/>
  <c r="O71" i="1"/>
  <c r="O67" i="1"/>
  <c r="O35" i="1"/>
  <c r="O31" i="1"/>
  <c r="O70" i="1"/>
  <c r="O34" i="1"/>
  <c r="O36" i="1" s="1"/>
  <c r="O72" i="1" l="1"/>
  <c r="P57" i="1"/>
  <c r="O57" i="1"/>
</calcChain>
</file>

<file path=xl/sharedStrings.xml><?xml version="1.0" encoding="utf-8"?>
<sst xmlns="http://schemas.openxmlformats.org/spreadsheetml/2006/main" count="61" uniqueCount="18">
  <si>
    <t>maturity</t>
  </si>
  <si>
    <t>duration</t>
  </si>
  <si>
    <t>cash</t>
  </si>
  <si>
    <t>sov</t>
  </si>
  <si>
    <t>aaa</t>
  </si>
  <si>
    <t>aa</t>
  </si>
  <si>
    <t>a</t>
  </si>
  <si>
    <t>0-0.25</t>
  </si>
  <si>
    <t>Allocation</t>
  </si>
  <si>
    <t>Duration &amp; weighted duration</t>
  </si>
  <si>
    <t>Impact Cost in Normal Market Conditions</t>
  </si>
  <si>
    <t>Explained / Not Explained</t>
  </si>
  <si>
    <t>Explained</t>
  </si>
  <si>
    <t>No Explained</t>
  </si>
  <si>
    <t>b</t>
  </si>
  <si>
    <t>c</t>
  </si>
  <si>
    <t>Swing Pricing Workings</t>
  </si>
  <si>
    <t xml:space="preserve">AMFI Best Practices Guidelines Circular on Swing Pricing During Normal Times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</si>
</sst>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9" fontId="0" fillId="0" borderId="1" xfId="0" applyNumberFormat="1" applyBorder="1"/>
    <xf numFmtId="9" fontId="0" fillId="0" borderId="1" xfId="2" applyNumberFormat="1" applyFont="1" applyBorder="1"/>
    <xf numFmtId="9" fontId="0" fillId="2" borderId="1" xfId="0" applyNumberFormat="1" applyFill="1" applyBorder="1"/>
    <xf numFmtId="164" fontId="0" fillId="0" borderId="1" xfId="1" applyFont="1" applyBorder="1"/>
    <xf numFmtId="164" fontId="0" fillId="2" borderId="1" xfId="1" applyFont="1" applyFill="1" applyBorder="1"/>
    <xf numFmtId="10" fontId="0" fillId="0" borderId="1" xfId="0" applyNumberFormat="1" applyBorder="1"/>
    <xf numFmtId="10" fontId="0" fillId="2" borderId="1" xfId="0" applyNumberFormat="1" applyFill="1" applyBorder="1"/>
    <xf numFmtId="10" fontId="0" fillId="0" borderId="1" xfId="2" applyNumberFormat="1" applyFont="1" applyBorder="1"/>
    <xf numFmtId="10" fontId="0" fillId="2" borderId="1" xfId="2" applyNumberFormat="1" applyFont="1" applyFill="1" applyBorder="1"/>
    <xf numFmtId="10" fontId="0" fillId="2" borderId="0" xfId="0" applyNumberFormat="1" applyFill="1"/>
    <xf numFmtId="0" fontId="2" fillId="0" borderId="0" xfId="0" applyFont="1"/>
    <xf numFmtId="0" fontId="2" fillId="3" borderId="2" xfId="0" applyFont="1" applyFill="1" applyBorder="1"/>
    <xf numFmtId="0" fontId="2" fillId="3" borderId="3" xfId="0" applyFont="1" applyFill="1" applyBorder="1"/>
    <xf numFmtId="0" fontId="0" fillId="3" borderId="3" xfId="0" applyFill="1" applyBorder="1"/>
    <xf numFmtId="0" fontId="0" fillId="3" borderId="4" xfId="0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AF599-18FE-4F39-97B3-C989E463533D}">
  <dimension ref="H1:P78"/>
  <sheetViews>
    <sheetView tabSelected="1" topLeftCell="G1" zoomScale="90" zoomScaleNormal="90" workbookViewId="0">
      <selection activeCell="T5" sqref="T5"/>
    </sheetView>
  </sheetViews>
  <sheetFormatPr defaultRowHeight="14.4" x14ac:dyDescent="0.3"/>
  <cols>
    <col min="8" max="8" width="45.88671875" bestFit="1" customWidth="1"/>
    <col min="9" max="9" width="13.5546875" customWidth="1"/>
    <col min="14" max="14" width="10.109375" bestFit="1" customWidth="1"/>
  </cols>
  <sheetData>
    <row r="1" spans="8:16" ht="15.75" customHeight="1" thickBot="1" x14ac:dyDescent="0.35">
      <c r="H1" s="13" t="s">
        <v>17</v>
      </c>
      <c r="I1" s="14"/>
      <c r="J1" s="15"/>
      <c r="K1" s="15"/>
      <c r="L1" s="14" t="s">
        <v>16</v>
      </c>
      <c r="M1" s="15"/>
      <c r="N1" s="15"/>
      <c r="O1" s="15"/>
      <c r="P1" s="16"/>
    </row>
    <row r="2" spans="8:16" x14ac:dyDescent="0.3">
      <c r="H2" s="12"/>
    </row>
    <row r="3" spans="8:16" x14ac:dyDescent="0.3">
      <c r="H3" s="1" t="s">
        <v>8</v>
      </c>
      <c r="I3" s="1"/>
      <c r="J3" s="1"/>
      <c r="K3" s="1"/>
      <c r="L3" s="1"/>
      <c r="M3" s="1"/>
      <c r="N3" s="1"/>
      <c r="O3" s="1"/>
      <c r="P3" s="1"/>
    </row>
    <row r="4" spans="8:16" x14ac:dyDescent="0.3">
      <c r="H4" s="1" t="s">
        <v>0</v>
      </c>
      <c r="I4" s="1" t="s">
        <v>1</v>
      </c>
      <c r="J4" s="1" t="s">
        <v>2</v>
      </c>
      <c r="K4" s="1" t="s">
        <v>3</v>
      </c>
      <c r="L4" s="1" t="s">
        <v>4</v>
      </c>
      <c r="M4" s="1" t="s">
        <v>5</v>
      </c>
      <c r="N4" s="1" t="s">
        <v>6</v>
      </c>
      <c r="O4" s="1"/>
      <c r="P4" s="1"/>
    </row>
    <row r="5" spans="8:16" x14ac:dyDescent="0.3">
      <c r="H5" s="1" t="s">
        <v>7</v>
      </c>
      <c r="I5" s="1">
        <v>0.1</v>
      </c>
      <c r="J5" s="2">
        <v>0.05</v>
      </c>
      <c r="K5" s="2"/>
      <c r="L5" s="1"/>
      <c r="M5" s="1"/>
      <c r="N5" s="1"/>
      <c r="O5" s="2">
        <f t="shared" ref="O5:O10" si="0">SUM(J5:N5)</f>
        <v>0.05</v>
      </c>
      <c r="P5" s="1"/>
    </row>
    <row r="6" spans="8:16" x14ac:dyDescent="0.3">
      <c r="H6" s="1">
        <v>1</v>
      </c>
      <c r="I6" s="1">
        <f>+H6*0.8</f>
        <v>0.8</v>
      </c>
      <c r="J6" s="1"/>
      <c r="K6" s="1"/>
      <c r="L6" s="1"/>
      <c r="M6" s="2">
        <v>0.05</v>
      </c>
      <c r="N6" s="2">
        <v>0.1</v>
      </c>
      <c r="O6" s="2">
        <f t="shared" si="0"/>
        <v>0.15000000000000002</v>
      </c>
      <c r="P6" s="1"/>
    </row>
    <row r="7" spans="8:16" x14ac:dyDescent="0.3">
      <c r="H7" s="1">
        <v>2</v>
      </c>
      <c r="I7" s="1">
        <f t="shared" ref="I7:I10" si="1">+H7*0.8</f>
        <v>1.6</v>
      </c>
      <c r="J7" s="1"/>
      <c r="K7" s="2"/>
      <c r="L7" s="2"/>
      <c r="M7" s="2"/>
      <c r="N7" s="2"/>
      <c r="O7" s="2">
        <f t="shared" si="0"/>
        <v>0</v>
      </c>
      <c r="P7" s="1"/>
    </row>
    <row r="8" spans="8:16" x14ac:dyDescent="0.3">
      <c r="H8" s="1">
        <v>3</v>
      </c>
      <c r="I8" s="1">
        <f t="shared" si="1"/>
        <v>2.4000000000000004</v>
      </c>
      <c r="J8" s="1"/>
      <c r="K8" s="2"/>
      <c r="L8" s="2"/>
      <c r="M8" s="2"/>
      <c r="N8" s="2"/>
      <c r="O8" s="2">
        <f t="shared" si="0"/>
        <v>0</v>
      </c>
      <c r="P8" s="1"/>
    </row>
    <row r="9" spans="8:16" x14ac:dyDescent="0.3">
      <c r="H9" s="1">
        <v>4</v>
      </c>
      <c r="I9" s="1">
        <f t="shared" si="1"/>
        <v>3.2</v>
      </c>
      <c r="J9" s="1"/>
      <c r="K9" s="2">
        <v>0.03</v>
      </c>
      <c r="L9" s="2">
        <v>0.06</v>
      </c>
      <c r="M9" s="2">
        <v>0.2</v>
      </c>
      <c r="N9" s="2">
        <v>0.15</v>
      </c>
      <c r="O9" s="2">
        <f t="shared" si="0"/>
        <v>0.44000000000000006</v>
      </c>
      <c r="P9" s="1"/>
    </row>
    <row r="10" spans="8:16" x14ac:dyDescent="0.3">
      <c r="H10" s="1">
        <v>5</v>
      </c>
      <c r="I10" s="1">
        <f t="shared" si="1"/>
        <v>4</v>
      </c>
      <c r="J10" s="1"/>
      <c r="K10" s="2">
        <v>0.05</v>
      </c>
      <c r="L10" s="2">
        <v>0.11</v>
      </c>
      <c r="M10" s="2">
        <v>0.1</v>
      </c>
      <c r="N10" s="2">
        <v>0.1</v>
      </c>
      <c r="O10" s="2">
        <f t="shared" si="0"/>
        <v>0.36</v>
      </c>
      <c r="P10" s="1"/>
    </row>
    <row r="11" spans="8:16" x14ac:dyDescent="0.3">
      <c r="H11" s="1"/>
      <c r="I11" s="1"/>
      <c r="J11" s="2">
        <f>SUM(J5:J10)</f>
        <v>0.05</v>
      </c>
      <c r="K11" s="2">
        <f>SUM(K5:K10)</f>
        <v>0.08</v>
      </c>
      <c r="L11" s="3">
        <f>SUM(L5:L10)</f>
        <v>0.16999999999999998</v>
      </c>
      <c r="M11" s="3">
        <f t="shared" ref="M11:N11" si="2">SUM(M5:M10)</f>
        <v>0.35</v>
      </c>
      <c r="N11" s="3">
        <f t="shared" si="2"/>
        <v>0.35</v>
      </c>
      <c r="O11" s="2">
        <f>SUM(O5:O10)</f>
        <v>1</v>
      </c>
      <c r="P11" s="4">
        <f>SUM(J11:N11)</f>
        <v>0.99999999999999989</v>
      </c>
    </row>
    <row r="12" spans="8:16" x14ac:dyDescent="0.3">
      <c r="H12" s="1"/>
      <c r="I12" s="1"/>
      <c r="J12" s="1"/>
      <c r="K12" s="1"/>
      <c r="L12" s="1"/>
      <c r="M12" s="1"/>
      <c r="N12" s="1"/>
      <c r="O12" s="1"/>
      <c r="P12" s="1"/>
    </row>
    <row r="13" spans="8:16" x14ac:dyDescent="0.3">
      <c r="H13" s="1" t="s">
        <v>9</v>
      </c>
      <c r="I13" s="1"/>
      <c r="J13" s="1"/>
      <c r="K13" s="1"/>
      <c r="L13" s="1"/>
      <c r="M13" s="1"/>
      <c r="N13" s="1"/>
      <c r="O13" s="1"/>
      <c r="P13" s="1"/>
    </row>
    <row r="14" spans="8:16" x14ac:dyDescent="0.3">
      <c r="H14" s="1"/>
      <c r="I14" s="1"/>
      <c r="J14" s="1" t="s">
        <v>2</v>
      </c>
      <c r="K14" s="1" t="s">
        <v>3</v>
      </c>
      <c r="L14" s="1" t="s">
        <v>4</v>
      </c>
      <c r="M14" s="1" t="s">
        <v>5</v>
      </c>
      <c r="N14" s="1" t="s">
        <v>6</v>
      </c>
      <c r="O14" s="1"/>
      <c r="P14" s="1"/>
    </row>
    <row r="15" spans="8:16" x14ac:dyDescent="0.3">
      <c r="H15" s="1" t="s">
        <v>7</v>
      </c>
      <c r="I15" s="1">
        <v>0.1</v>
      </c>
      <c r="J15" s="2">
        <f>+J5*$I5</f>
        <v>5.000000000000001E-3</v>
      </c>
      <c r="K15" s="2">
        <f t="shared" ref="K15:N15" si="3">+K5*$I5</f>
        <v>0</v>
      </c>
      <c r="L15" s="2">
        <f t="shared" si="3"/>
        <v>0</v>
      </c>
      <c r="M15" s="2">
        <f t="shared" si="3"/>
        <v>0</v>
      </c>
      <c r="N15" s="2">
        <f t="shared" si="3"/>
        <v>0</v>
      </c>
      <c r="O15" s="2">
        <f t="shared" ref="O15:O20" si="4">SUM(J15:N15)</f>
        <v>5.000000000000001E-3</v>
      </c>
      <c r="P15" s="1"/>
    </row>
    <row r="16" spans="8:16" x14ac:dyDescent="0.3">
      <c r="H16" s="1">
        <v>1</v>
      </c>
      <c r="I16" s="1">
        <f>+I6</f>
        <v>0.8</v>
      </c>
      <c r="J16" s="2">
        <f t="shared" ref="J16:N16" si="5">+J6*$I6</f>
        <v>0</v>
      </c>
      <c r="K16" s="2">
        <f t="shared" si="5"/>
        <v>0</v>
      </c>
      <c r="L16" s="2">
        <f t="shared" si="5"/>
        <v>0</v>
      </c>
      <c r="M16" s="2">
        <f t="shared" si="5"/>
        <v>4.0000000000000008E-2</v>
      </c>
      <c r="N16" s="2">
        <f t="shared" si="5"/>
        <v>8.0000000000000016E-2</v>
      </c>
      <c r="O16" s="2">
        <f t="shared" si="4"/>
        <v>0.12000000000000002</v>
      </c>
      <c r="P16" s="1"/>
    </row>
    <row r="17" spans="8:16" x14ac:dyDescent="0.3">
      <c r="H17" s="1">
        <v>2</v>
      </c>
      <c r="I17" s="1">
        <f t="shared" ref="I17:I20" si="6">+I7</f>
        <v>1.6</v>
      </c>
      <c r="J17" s="2">
        <f t="shared" ref="J17:N17" si="7">+J7*$I7</f>
        <v>0</v>
      </c>
      <c r="K17" s="2">
        <f t="shared" si="7"/>
        <v>0</v>
      </c>
      <c r="L17" s="2">
        <f t="shared" si="7"/>
        <v>0</v>
      </c>
      <c r="M17" s="2">
        <f t="shared" si="7"/>
        <v>0</v>
      </c>
      <c r="N17" s="2">
        <f t="shared" si="7"/>
        <v>0</v>
      </c>
      <c r="O17" s="2">
        <f t="shared" si="4"/>
        <v>0</v>
      </c>
      <c r="P17" s="1"/>
    </row>
    <row r="18" spans="8:16" x14ac:dyDescent="0.3">
      <c r="H18" s="1">
        <v>3</v>
      </c>
      <c r="I18" s="1">
        <f t="shared" si="6"/>
        <v>2.4000000000000004</v>
      </c>
      <c r="J18" s="2">
        <f t="shared" ref="J18:N18" si="8">+J8*$I8</f>
        <v>0</v>
      </c>
      <c r="K18" s="2">
        <f t="shared" si="8"/>
        <v>0</v>
      </c>
      <c r="L18" s="2">
        <f t="shared" si="8"/>
        <v>0</v>
      </c>
      <c r="M18" s="2">
        <f t="shared" si="8"/>
        <v>0</v>
      </c>
      <c r="N18" s="2">
        <f t="shared" si="8"/>
        <v>0</v>
      </c>
      <c r="O18" s="2">
        <f t="shared" si="4"/>
        <v>0</v>
      </c>
      <c r="P18" s="1"/>
    </row>
    <row r="19" spans="8:16" x14ac:dyDescent="0.3">
      <c r="H19" s="1">
        <v>4</v>
      </c>
      <c r="I19" s="1">
        <f t="shared" si="6"/>
        <v>3.2</v>
      </c>
      <c r="J19" s="2">
        <f t="shared" ref="J19:N19" si="9">+J9*$I9</f>
        <v>0</v>
      </c>
      <c r="K19" s="2">
        <f t="shared" si="9"/>
        <v>9.6000000000000002E-2</v>
      </c>
      <c r="L19" s="2">
        <f t="shared" si="9"/>
        <v>0.192</v>
      </c>
      <c r="M19" s="2">
        <f t="shared" si="9"/>
        <v>0.64000000000000012</v>
      </c>
      <c r="N19" s="2">
        <f t="shared" si="9"/>
        <v>0.48</v>
      </c>
      <c r="O19" s="2">
        <f t="shared" si="4"/>
        <v>1.4080000000000001</v>
      </c>
      <c r="P19" s="1"/>
    </row>
    <row r="20" spans="8:16" x14ac:dyDescent="0.3">
      <c r="H20" s="1">
        <v>5</v>
      </c>
      <c r="I20" s="1">
        <f t="shared" si="6"/>
        <v>4</v>
      </c>
      <c r="J20" s="2">
        <f t="shared" ref="J20:N20" si="10">+J10*$I10</f>
        <v>0</v>
      </c>
      <c r="K20" s="2">
        <f t="shared" si="10"/>
        <v>0.2</v>
      </c>
      <c r="L20" s="2">
        <f t="shared" si="10"/>
        <v>0.44</v>
      </c>
      <c r="M20" s="2">
        <f t="shared" si="10"/>
        <v>0.4</v>
      </c>
      <c r="N20" s="2">
        <f t="shared" si="10"/>
        <v>0.4</v>
      </c>
      <c r="O20" s="2">
        <f t="shared" si="4"/>
        <v>1.44</v>
      </c>
      <c r="P20" s="1"/>
    </row>
    <row r="21" spans="8:16" x14ac:dyDescent="0.3">
      <c r="H21" s="1"/>
      <c r="I21" s="1"/>
      <c r="J21" s="2">
        <f>SUM(J15:J20)</f>
        <v>5.000000000000001E-3</v>
      </c>
      <c r="K21" s="2">
        <f>SUM(K15:K20)</f>
        <v>0.29600000000000004</v>
      </c>
      <c r="L21" s="3">
        <f>SUM(L15:L20)</f>
        <v>0.63200000000000001</v>
      </c>
      <c r="M21" s="3">
        <f t="shared" ref="M21:N21" si="11">SUM(M15:M20)</f>
        <v>1.08</v>
      </c>
      <c r="N21" s="3">
        <f t="shared" si="11"/>
        <v>0.96000000000000008</v>
      </c>
      <c r="O21" s="5">
        <f>SUM(O15:O20)</f>
        <v>2.9729999999999999</v>
      </c>
      <c r="P21" s="6">
        <f>SUM(J21:N21)</f>
        <v>2.9729999999999999</v>
      </c>
    </row>
    <row r="22" spans="8:16" x14ac:dyDescent="0.3">
      <c r="H22" s="1"/>
      <c r="I22" s="1"/>
      <c r="J22" s="1"/>
      <c r="K22" s="1"/>
      <c r="L22" s="1"/>
      <c r="M22" s="1"/>
      <c r="N22" s="1"/>
      <c r="O22" s="1"/>
      <c r="P22" s="1"/>
    </row>
    <row r="23" spans="8:16" x14ac:dyDescent="0.3">
      <c r="H23" s="1" t="s">
        <v>10</v>
      </c>
      <c r="I23" s="1"/>
      <c r="J23" s="1"/>
      <c r="K23" s="1"/>
      <c r="L23" s="1"/>
      <c r="M23" s="1"/>
      <c r="N23" s="1"/>
      <c r="O23" s="1"/>
      <c r="P23" s="1"/>
    </row>
    <row r="24" spans="8:16" x14ac:dyDescent="0.3">
      <c r="H24" s="1" t="s">
        <v>0</v>
      </c>
      <c r="I24" s="1" t="s">
        <v>1</v>
      </c>
      <c r="J24" s="1" t="s">
        <v>2</v>
      </c>
      <c r="K24" s="1" t="s">
        <v>3</v>
      </c>
      <c r="L24" s="1" t="s">
        <v>4</v>
      </c>
      <c r="M24" s="1" t="s">
        <v>5</v>
      </c>
      <c r="N24" s="1" t="s">
        <v>6</v>
      </c>
      <c r="O24" s="1"/>
      <c r="P24" s="1"/>
    </row>
    <row r="25" spans="8:16" x14ac:dyDescent="0.3">
      <c r="H25" s="1" t="s">
        <v>7</v>
      </c>
      <c r="I25" s="1">
        <v>0.1</v>
      </c>
      <c r="J25" s="7">
        <v>0</v>
      </c>
      <c r="K25" s="7">
        <v>5.0000000000000001E-4</v>
      </c>
      <c r="L25" s="7">
        <v>1.5E-3</v>
      </c>
      <c r="M25" s="7">
        <f>+L25*2</f>
        <v>3.0000000000000001E-3</v>
      </c>
      <c r="N25" s="7">
        <f>+M25*2</f>
        <v>6.0000000000000001E-3</v>
      </c>
      <c r="O25" s="7"/>
      <c r="P25" s="7"/>
    </row>
    <row r="26" spans="8:16" x14ac:dyDescent="0.3">
      <c r="H26" s="1">
        <v>1</v>
      </c>
      <c r="I26" s="1">
        <f>+H26*0.8</f>
        <v>0.8</v>
      </c>
      <c r="J26" s="7">
        <v>0</v>
      </c>
      <c r="K26" s="7">
        <v>5.0000000000000001E-4</v>
      </c>
      <c r="L26" s="7">
        <v>1.5E-3</v>
      </c>
      <c r="M26" s="7">
        <f t="shared" ref="M26:N30" si="12">+L26*2</f>
        <v>3.0000000000000001E-3</v>
      </c>
      <c r="N26" s="7">
        <f t="shared" si="12"/>
        <v>6.0000000000000001E-3</v>
      </c>
      <c r="O26" s="7"/>
      <c r="P26" s="7"/>
    </row>
    <row r="27" spans="8:16" x14ac:dyDescent="0.3">
      <c r="H27" s="1">
        <v>2</v>
      </c>
      <c r="I27" s="1">
        <f t="shared" ref="I27:I30" si="13">+H27*0.8</f>
        <v>1.6</v>
      </c>
      <c r="J27" s="7">
        <v>0</v>
      </c>
      <c r="K27" s="7">
        <v>5.0000000000000001E-4</v>
      </c>
      <c r="L27" s="7">
        <v>1.5E-3</v>
      </c>
      <c r="M27" s="7">
        <f t="shared" si="12"/>
        <v>3.0000000000000001E-3</v>
      </c>
      <c r="N27" s="7">
        <f t="shared" si="12"/>
        <v>6.0000000000000001E-3</v>
      </c>
      <c r="O27" s="7"/>
      <c r="P27" s="7"/>
    </row>
    <row r="28" spans="8:16" x14ac:dyDescent="0.3">
      <c r="H28" s="1">
        <v>3</v>
      </c>
      <c r="I28" s="1">
        <f t="shared" si="13"/>
        <v>2.4000000000000004</v>
      </c>
      <c r="J28" s="7">
        <v>0</v>
      </c>
      <c r="K28" s="7">
        <v>5.0000000000000001E-4</v>
      </c>
      <c r="L28" s="7">
        <v>1.5E-3</v>
      </c>
      <c r="M28" s="7">
        <f t="shared" si="12"/>
        <v>3.0000000000000001E-3</v>
      </c>
      <c r="N28" s="7">
        <f t="shared" si="12"/>
        <v>6.0000000000000001E-3</v>
      </c>
      <c r="O28" s="7"/>
      <c r="P28" s="7"/>
    </row>
    <row r="29" spans="8:16" x14ac:dyDescent="0.3">
      <c r="H29" s="1">
        <v>4</v>
      </c>
      <c r="I29" s="1">
        <f t="shared" si="13"/>
        <v>3.2</v>
      </c>
      <c r="J29" s="7">
        <v>0</v>
      </c>
      <c r="K29" s="7">
        <v>5.0000000000000001E-4</v>
      </c>
      <c r="L29" s="7">
        <v>1.5E-3</v>
      </c>
      <c r="M29" s="7">
        <f t="shared" si="12"/>
        <v>3.0000000000000001E-3</v>
      </c>
      <c r="N29" s="7">
        <f t="shared" si="12"/>
        <v>6.0000000000000001E-3</v>
      </c>
      <c r="O29" s="7"/>
      <c r="P29" s="7"/>
    </row>
    <row r="30" spans="8:16" x14ac:dyDescent="0.3">
      <c r="H30" s="1">
        <v>5</v>
      </c>
      <c r="I30" s="1">
        <f t="shared" si="13"/>
        <v>4</v>
      </c>
      <c r="J30" s="7">
        <v>0</v>
      </c>
      <c r="K30" s="7">
        <v>5.0000000000000001E-4</v>
      </c>
      <c r="L30" s="7">
        <v>1.5E-3</v>
      </c>
      <c r="M30" s="7">
        <f t="shared" si="12"/>
        <v>3.0000000000000001E-3</v>
      </c>
      <c r="N30" s="7">
        <f t="shared" si="12"/>
        <v>6.0000000000000001E-3</v>
      </c>
      <c r="O30" s="7"/>
      <c r="P30" s="7"/>
    </row>
    <row r="31" spans="8:16" x14ac:dyDescent="0.3">
      <c r="H31" s="1"/>
      <c r="I31" s="1"/>
      <c r="J31" s="7">
        <f>+SUMPRODUCT(J5:J10,$I$25:$I$30,J25:J30)</f>
        <v>0</v>
      </c>
      <c r="K31" s="7">
        <f t="shared" ref="K31:N31" si="14">+SUMPRODUCT(K5:K10,$I$25:$I$30,K25:K30)</f>
        <v>1.4800000000000002E-4</v>
      </c>
      <c r="L31" s="7">
        <f t="shared" si="14"/>
        <v>9.4800000000000006E-4</v>
      </c>
      <c r="M31" s="7">
        <f t="shared" si="14"/>
        <v>3.2400000000000007E-3</v>
      </c>
      <c r="N31" s="7">
        <f t="shared" si="14"/>
        <v>5.7599999999999995E-3</v>
      </c>
      <c r="O31" s="8">
        <f>SUM(J31:N31)</f>
        <v>1.0096000000000001E-2</v>
      </c>
      <c r="P31" s="7"/>
    </row>
    <row r="32" spans="8:16" x14ac:dyDescent="0.3">
      <c r="H32" s="1"/>
      <c r="I32" s="1"/>
      <c r="J32" s="1"/>
      <c r="K32" s="1"/>
      <c r="L32" s="1"/>
      <c r="M32" s="1"/>
      <c r="N32" s="1"/>
      <c r="O32" s="1"/>
      <c r="P32" s="1"/>
    </row>
    <row r="33" spans="8:16" x14ac:dyDescent="0.3">
      <c r="H33" s="1" t="s">
        <v>11</v>
      </c>
      <c r="I33" s="1"/>
      <c r="J33" s="1"/>
      <c r="K33" s="1"/>
      <c r="L33" s="1"/>
      <c r="M33" s="1"/>
      <c r="N33" s="1"/>
      <c r="O33" s="1"/>
      <c r="P33" s="1"/>
    </row>
    <row r="34" spans="8:16" x14ac:dyDescent="0.3">
      <c r="H34" s="1"/>
      <c r="I34" s="1" t="s">
        <v>12</v>
      </c>
      <c r="J34" s="2">
        <v>1</v>
      </c>
      <c r="K34" s="2">
        <v>1</v>
      </c>
      <c r="L34" s="2">
        <v>0.85</v>
      </c>
      <c r="M34" s="2">
        <v>0.6</v>
      </c>
      <c r="N34" s="2">
        <v>0.4</v>
      </c>
      <c r="O34" s="9">
        <f>+SUMPRODUCT($J$31:$N$31,J34:N34)</f>
        <v>5.2018000000000012E-3</v>
      </c>
      <c r="P34" s="1"/>
    </row>
    <row r="35" spans="8:16" x14ac:dyDescent="0.3">
      <c r="H35" s="1"/>
      <c r="I35" s="1" t="s">
        <v>13</v>
      </c>
      <c r="J35" s="2">
        <f>100%-J34</f>
        <v>0</v>
      </c>
      <c r="K35" s="2">
        <f t="shared" ref="K35:N35" si="15">100%-K34</f>
        <v>0</v>
      </c>
      <c r="L35" s="2">
        <f t="shared" si="15"/>
        <v>0.15000000000000002</v>
      </c>
      <c r="M35" s="2">
        <f t="shared" si="15"/>
        <v>0.4</v>
      </c>
      <c r="N35" s="2">
        <f t="shared" si="15"/>
        <v>0.6</v>
      </c>
      <c r="O35" s="10">
        <f>+SUMPRODUCT($J$31:$N$31,J35:N35)</f>
        <v>4.8941999999999996E-3</v>
      </c>
      <c r="P35" s="1"/>
    </row>
    <row r="36" spans="8:16" x14ac:dyDescent="0.3">
      <c r="H36" s="1"/>
      <c r="I36" s="1"/>
      <c r="J36" s="1"/>
      <c r="K36" s="1"/>
      <c r="L36" s="1"/>
      <c r="M36" s="1"/>
      <c r="N36" s="1"/>
      <c r="O36" s="7">
        <f>SUM(O34:O35)</f>
        <v>1.0096000000000001E-2</v>
      </c>
      <c r="P36" s="1"/>
    </row>
    <row r="39" spans="8:16" x14ac:dyDescent="0.3">
      <c r="H39" s="1" t="s">
        <v>8</v>
      </c>
      <c r="I39" s="1"/>
      <c r="J39" s="1"/>
      <c r="K39" s="1"/>
      <c r="L39" s="1"/>
      <c r="M39" s="1"/>
      <c r="N39" s="1"/>
      <c r="O39" s="1"/>
      <c r="P39" s="1"/>
    </row>
    <row r="40" spans="8:16" x14ac:dyDescent="0.3">
      <c r="H40" s="1" t="s">
        <v>0</v>
      </c>
      <c r="I40" s="1" t="s">
        <v>1</v>
      </c>
      <c r="J40" s="1" t="s">
        <v>2</v>
      </c>
      <c r="K40" s="1" t="s">
        <v>3</v>
      </c>
      <c r="L40" s="1" t="s">
        <v>4</v>
      </c>
      <c r="M40" s="1" t="s">
        <v>5</v>
      </c>
      <c r="N40" s="1" t="s">
        <v>6</v>
      </c>
      <c r="O40" s="1"/>
      <c r="P40" s="1"/>
    </row>
    <row r="41" spans="8:16" x14ac:dyDescent="0.3">
      <c r="H41" s="1" t="s">
        <v>7</v>
      </c>
      <c r="I41" s="1">
        <v>0.1</v>
      </c>
      <c r="J41" s="2">
        <v>0.05</v>
      </c>
      <c r="K41" s="2"/>
      <c r="L41" s="1"/>
      <c r="M41" s="1"/>
      <c r="N41" s="1"/>
      <c r="O41" s="2">
        <f t="shared" ref="O41:O46" si="16">SUM(J41:N41)</f>
        <v>0.05</v>
      </c>
      <c r="P41" s="1"/>
    </row>
    <row r="42" spans="8:16" x14ac:dyDescent="0.3">
      <c r="H42" s="1">
        <v>1</v>
      </c>
      <c r="I42" s="1">
        <f>+H42*0.8</f>
        <v>0.8</v>
      </c>
      <c r="J42" s="1"/>
      <c r="K42" s="1"/>
      <c r="L42" s="1"/>
      <c r="M42" s="2">
        <v>0</v>
      </c>
      <c r="N42" s="2">
        <v>0</v>
      </c>
      <c r="O42" s="2">
        <f t="shared" si="16"/>
        <v>0</v>
      </c>
      <c r="P42" s="1"/>
    </row>
    <row r="43" spans="8:16" x14ac:dyDescent="0.3">
      <c r="H43" s="1">
        <v>2</v>
      </c>
      <c r="I43" s="1">
        <f t="shared" ref="I43:I46" si="17">+H43*0.8</f>
        <v>1.6</v>
      </c>
      <c r="J43" s="1"/>
      <c r="K43" s="2">
        <v>0</v>
      </c>
      <c r="L43" s="2">
        <v>0</v>
      </c>
      <c r="M43" s="2">
        <v>0</v>
      </c>
      <c r="N43" s="2"/>
      <c r="O43" s="2">
        <f t="shared" si="16"/>
        <v>0</v>
      </c>
      <c r="P43" s="1"/>
    </row>
    <row r="44" spans="8:16" x14ac:dyDescent="0.3">
      <c r="H44" s="1">
        <v>3</v>
      </c>
      <c r="I44" s="1">
        <f t="shared" si="17"/>
        <v>2.4000000000000004</v>
      </c>
      <c r="J44" s="1"/>
      <c r="K44" s="2">
        <v>0</v>
      </c>
      <c r="L44" s="2">
        <v>0</v>
      </c>
      <c r="M44" s="2"/>
      <c r="N44" s="2"/>
      <c r="O44" s="2">
        <f t="shared" si="16"/>
        <v>0</v>
      </c>
      <c r="P44" s="1"/>
    </row>
    <row r="45" spans="8:16" x14ac:dyDescent="0.3">
      <c r="H45" s="1">
        <v>4</v>
      </c>
      <c r="I45" s="1">
        <f t="shared" si="17"/>
        <v>3.2</v>
      </c>
      <c r="J45" s="1"/>
      <c r="K45" s="2">
        <v>0</v>
      </c>
      <c r="L45" s="2">
        <v>0</v>
      </c>
      <c r="M45" s="2">
        <v>0</v>
      </c>
      <c r="N45" s="2">
        <v>0</v>
      </c>
      <c r="O45" s="2">
        <f t="shared" si="16"/>
        <v>0</v>
      </c>
      <c r="P45" s="1"/>
    </row>
    <row r="46" spans="8:16" x14ac:dyDescent="0.3">
      <c r="H46" s="1">
        <v>5</v>
      </c>
      <c r="I46" s="1">
        <f t="shared" si="17"/>
        <v>4</v>
      </c>
      <c r="J46" s="1"/>
      <c r="K46" s="2">
        <v>0.2</v>
      </c>
      <c r="L46" s="2">
        <v>0.6</v>
      </c>
      <c r="M46" s="2">
        <v>0.15</v>
      </c>
      <c r="N46" s="2">
        <v>0</v>
      </c>
      <c r="O46" s="2">
        <f t="shared" si="16"/>
        <v>0.95000000000000007</v>
      </c>
      <c r="P46" s="1"/>
    </row>
    <row r="47" spans="8:16" x14ac:dyDescent="0.3">
      <c r="H47" s="1"/>
      <c r="I47" s="1"/>
      <c r="J47" s="2">
        <f>SUM(J41:J46)</f>
        <v>0.05</v>
      </c>
      <c r="K47" s="2">
        <f>SUM(K41:K46)</f>
        <v>0.2</v>
      </c>
      <c r="L47" s="3">
        <f>SUM(L41:L46)</f>
        <v>0.6</v>
      </c>
      <c r="M47" s="3">
        <f t="shared" ref="M47:N47" si="18">SUM(M41:M46)</f>
        <v>0.15</v>
      </c>
      <c r="N47" s="3">
        <f t="shared" si="18"/>
        <v>0</v>
      </c>
      <c r="O47" s="2">
        <f>SUM(O41:O46)</f>
        <v>1</v>
      </c>
      <c r="P47" s="4">
        <f>SUM(J47:N47)</f>
        <v>1</v>
      </c>
    </row>
    <row r="48" spans="8:16" x14ac:dyDescent="0.3">
      <c r="H48" s="1"/>
      <c r="I48" s="1"/>
      <c r="J48" s="1"/>
      <c r="K48" s="1"/>
      <c r="L48" s="1"/>
      <c r="M48" s="1"/>
      <c r="N48" s="1"/>
      <c r="O48" s="1"/>
      <c r="P48" s="1"/>
    </row>
    <row r="49" spans="8:16" x14ac:dyDescent="0.3">
      <c r="H49" s="1" t="s">
        <v>9</v>
      </c>
      <c r="I49" s="1"/>
      <c r="J49" s="1"/>
      <c r="K49" s="1"/>
      <c r="L49" s="1"/>
      <c r="M49" s="1"/>
      <c r="N49" s="1"/>
      <c r="O49" s="1"/>
      <c r="P49" s="1"/>
    </row>
    <row r="50" spans="8:16" x14ac:dyDescent="0.3">
      <c r="H50" s="1"/>
      <c r="I50" s="1"/>
      <c r="J50" s="1" t="s">
        <v>2</v>
      </c>
      <c r="K50" s="1" t="s">
        <v>3</v>
      </c>
      <c r="L50" s="1" t="s">
        <v>4</v>
      </c>
      <c r="M50" s="1" t="s">
        <v>5</v>
      </c>
      <c r="N50" s="1" t="s">
        <v>6</v>
      </c>
      <c r="O50" s="1"/>
      <c r="P50" s="1"/>
    </row>
    <row r="51" spans="8:16" x14ac:dyDescent="0.3">
      <c r="H51" s="1" t="s">
        <v>7</v>
      </c>
      <c r="I51" s="1">
        <v>0.1</v>
      </c>
      <c r="J51" s="2">
        <f>+J41*$I41</f>
        <v>5.000000000000001E-3</v>
      </c>
      <c r="K51" s="2">
        <f t="shared" ref="K51:N51" si="19">+K41*$I41</f>
        <v>0</v>
      </c>
      <c r="L51" s="2">
        <f t="shared" si="19"/>
        <v>0</v>
      </c>
      <c r="M51" s="2">
        <f t="shared" si="19"/>
        <v>0</v>
      </c>
      <c r="N51" s="2">
        <f t="shared" si="19"/>
        <v>0</v>
      </c>
      <c r="O51" s="2">
        <f t="shared" ref="O51:O56" si="20">SUM(J51:N51)</f>
        <v>5.000000000000001E-3</v>
      </c>
      <c r="P51" s="1"/>
    </row>
    <row r="52" spans="8:16" x14ac:dyDescent="0.3">
      <c r="H52" s="1">
        <v>1</v>
      </c>
      <c r="I52" s="1">
        <f>+I42</f>
        <v>0.8</v>
      </c>
      <c r="J52" s="2">
        <f t="shared" ref="J52:N52" si="21">+J42*$I42</f>
        <v>0</v>
      </c>
      <c r="K52" s="2">
        <f t="shared" si="21"/>
        <v>0</v>
      </c>
      <c r="L52" s="2">
        <f t="shared" si="21"/>
        <v>0</v>
      </c>
      <c r="M52" s="2">
        <f t="shared" si="21"/>
        <v>0</v>
      </c>
      <c r="N52" s="2">
        <f t="shared" si="21"/>
        <v>0</v>
      </c>
      <c r="O52" s="2">
        <f t="shared" si="20"/>
        <v>0</v>
      </c>
      <c r="P52" s="1"/>
    </row>
    <row r="53" spans="8:16" x14ac:dyDescent="0.3">
      <c r="H53" s="1">
        <v>2</v>
      </c>
      <c r="I53" s="1">
        <f t="shared" ref="I53:I56" si="22">+I43</f>
        <v>1.6</v>
      </c>
      <c r="J53" s="2">
        <f t="shared" ref="J53:N53" si="23">+J43*$I43</f>
        <v>0</v>
      </c>
      <c r="K53" s="2">
        <f t="shared" si="23"/>
        <v>0</v>
      </c>
      <c r="L53" s="2">
        <f t="shared" si="23"/>
        <v>0</v>
      </c>
      <c r="M53" s="2">
        <f t="shared" si="23"/>
        <v>0</v>
      </c>
      <c r="N53" s="2">
        <f t="shared" si="23"/>
        <v>0</v>
      </c>
      <c r="O53" s="2">
        <f t="shared" si="20"/>
        <v>0</v>
      </c>
      <c r="P53" s="1"/>
    </row>
    <row r="54" spans="8:16" x14ac:dyDescent="0.3">
      <c r="H54" s="1">
        <v>3</v>
      </c>
      <c r="I54" s="1">
        <f t="shared" si="22"/>
        <v>2.4000000000000004</v>
      </c>
      <c r="J54" s="2">
        <f t="shared" ref="J54:N54" si="24">+J44*$I44</f>
        <v>0</v>
      </c>
      <c r="K54" s="2">
        <f t="shared" si="24"/>
        <v>0</v>
      </c>
      <c r="L54" s="2">
        <f t="shared" si="24"/>
        <v>0</v>
      </c>
      <c r="M54" s="2">
        <f t="shared" si="24"/>
        <v>0</v>
      </c>
      <c r="N54" s="2">
        <f t="shared" si="24"/>
        <v>0</v>
      </c>
      <c r="O54" s="2">
        <f t="shared" si="20"/>
        <v>0</v>
      </c>
      <c r="P54" s="1"/>
    </row>
    <row r="55" spans="8:16" x14ac:dyDescent="0.3">
      <c r="H55" s="1">
        <v>4</v>
      </c>
      <c r="I55" s="1">
        <f t="shared" si="22"/>
        <v>3.2</v>
      </c>
      <c r="J55" s="2">
        <f t="shared" ref="J55:N55" si="25">+J45*$I45</f>
        <v>0</v>
      </c>
      <c r="K55" s="2">
        <f t="shared" si="25"/>
        <v>0</v>
      </c>
      <c r="L55" s="2">
        <f t="shared" si="25"/>
        <v>0</v>
      </c>
      <c r="M55" s="2">
        <f t="shared" si="25"/>
        <v>0</v>
      </c>
      <c r="N55" s="2">
        <f t="shared" si="25"/>
        <v>0</v>
      </c>
      <c r="O55" s="2">
        <f t="shared" si="20"/>
        <v>0</v>
      </c>
      <c r="P55" s="1"/>
    </row>
    <row r="56" spans="8:16" x14ac:dyDescent="0.3">
      <c r="H56" s="1">
        <v>5</v>
      </c>
      <c r="I56" s="1">
        <f t="shared" si="22"/>
        <v>4</v>
      </c>
      <c r="J56" s="2">
        <f t="shared" ref="J56:N56" si="26">+J46*$I46</f>
        <v>0</v>
      </c>
      <c r="K56" s="2">
        <f t="shared" si="26"/>
        <v>0.8</v>
      </c>
      <c r="L56" s="2">
        <f t="shared" si="26"/>
        <v>2.4</v>
      </c>
      <c r="M56" s="2">
        <f t="shared" si="26"/>
        <v>0.6</v>
      </c>
      <c r="N56" s="2">
        <f t="shared" si="26"/>
        <v>0</v>
      </c>
      <c r="O56" s="2">
        <f t="shared" si="20"/>
        <v>3.8000000000000003</v>
      </c>
      <c r="P56" s="1"/>
    </row>
    <row r="57" spans="8:16" x14ac:dyDescent="0.3">
      <c r="H57" s="1"/>
      <c r="I57" s="1"/>
      <c r="J57" s="2">
        <f>SUM(J51:J56)</f>
        <v>5.000000000000001E-3</v>
      </c>
      <c r="K57" s="2">
        <f>SUM(K51:K56)</f>
        <v>0.8</v>
      </c>
      <c r="L57" s="3">
        <f>SUM(L51:L56)</f>
        <v>2.4</v>
      </c>
      <c r="M57" s="3">
        <f t="shared" ref="M57:N57" si="27">SUM(M51:M56)</f>
        <v>0.6</v>
      </c>
      <c r="N57" s="3">
        <f t="shared" si="27"/>
        <v>0</v>
      </c>
      <c r="O57" s="5">
        <f>SUM(O51:O56)</f>
        <v>3.8050000000000002</v>
      </c>
      <c r="P57" s="6">
        <f>SUM(J57:N57)</f>
        <v>3.8050000000000002</v>
      </c>
    </row>
    <row r="58" spans="8:16" x14ac:dyDescent="0.3">
      <c r="H58" s="1"/>
      <c r="I58" s="1"/>
      <c r="J58" s="1"/>
      <c r="K58" s="1"/>
      <c r="L58" s="1"/>
      <c r="M58" s="1"/>
      <c r="N58" s="1"/>
      <c r="O58" s="1"/>
      <c r="P58" s="1"/>
    </row>
    <row r="59" spans="8:16" x14ac:dyDescent="0.3">
      <c r="H59" s="1" t="s">
        <v>10</v>
      </c>
      <c r="I59" s="1"/>
      <c r="J59" s="1"/>
      <c r="K59" s="1"/>
      <c r="L59" s="1"/>
      <c r="M59" s="1"/>
      <c r="N59" s="1"/>
      <c r="O59" s="1"/>
      <c r="P59" s="1"/>
    </row>
    <row r="60" spans="8:16" x14ac:dyDescent="0.3">
      <c r="H60" s="1" t="s">
        <v>0</v>
      </c>
      <c r="I60" s="1" t="s">
        <v>1</v>
      </c>
      <c r="J60" s="1" t="s">
        <v>2</v>
      </c>
      <c r="K60" s="1" t="s">
        <v>3</v>
      </c>
      <c r="L60" s="1" t="s">
        <v>4</v>
      </c>
      <c r="M60" s="1" t="s">
        <v>5</v>
      </c>
      <c r="N60" s="1" t="s">
        <v>6</v>
      </c>
      <c r="O60" s="1"/>
      <c r="P60" s="1"/>
    </row>
    <row r="61" spans="8:16" x14ac:dyDescent="0.3">
      <c r="H61" s="1" t="s">
        <v>7</v>
      </c>
      <c r="I61" s="1">
        <v>0.1</v>
      </c>
      <c r="J61" s="7">
        <v>0</v>
      </c>
      <c r="K61" s="7">
        <v>5.0000000000000001E-4</v>
      </c>
      <c r="L61" s="7">
        <v>1.5E-3</v>
      </c>
      <c r="M61" s="7">
        <f>+L61*2</f>
        <v>3.0000000000000001E-3</v>
      </c>
      <c r="N61" s="7">
        <f>+M61*2</f>
        <v>6.0000000000000001E-3</v>
      </c>
      <c r="O61" s="7"/>
      <c r="P61" s="7"/>
    </row>
    <row r="62" spans="8:16" x14ac:dyDescent="0.3">
      <c r="H62" s="1">
        <v>1</v>
      </c>
      <c r="I62" s="1">
        <f>+H62*0.8</f>
        <v>0.8</v>
      </c>
      <c r="J62" s="7">
        <v>0</v>
      </c>
      <c r="K62" s="7">
        <v>5.0000000000000001E-4</v>
      </c>
      <c r="L62" s="7">
        <v>1.5E-3</v>
      </c>
      <c r="M62" s="7">
        <f t="shared" ref="M62:M66" si="28">+L62*2</f>
        <v>3.0000000000000001E-3</v>
      </c>
      <c r="N62" s="7">
        <f t="shared" ref="N62:N66" si="29">+M62*2</f>
        <v>6.0000000000000001E-3</v>
      </c>
      <c r="O62" s="7"/>
      <c r="P62" s="7"/>
    </row>
    <row r="63" spans="8:16" x14ac:dyDescent="0.3">
      <c r="H63" s="1">
        <v>2</v>
      </c>
      <c r="I63" s="1">
        <f t="shared" ref="I63:I66" si="30">+H63*0.8</f>
        <v>1.6</v>
      </c>
      <c r="J63" s="7">
        <v>0</v>
      </c>
      <c r="K63" s="7">
        <v>5.0000000000000001E-4</v>
      </c>
      <c r="L63" s="7">
        <v>1.5E-3</v>
      </c>
      <c r="M63" s="7">
        <f t="shared" si="28"/>
        <v>3.0000000000000001E-3</v>
      </c>
      <c r="N63" s="7">
        <f t="shared" si="29"/>
        <v>6.0000000000000001E-3</v>
      </c>
      <c r="O63" s="7"/>
      <c r="P63" s="7"/>
    </row>
    <row r="64" spans="8:16" x14ac:dyDescent="0.3">
      <c r="H64" s="1">
        <v>3</v>
      </c>
      <c r="I64" s="1">
        <f t="shared" si="30"/>
        <v>2.4000000000000004</v>
      </c>
      <c r="J64" s="7">
        <v>0</v>
      </c>
      <c r="K64" s="7">
        <v>5.0000000000000001E-4</v>
      </c>
      <c r="L64" s="7">
        <v>1.5E-3</v>
      </c>
      <c r="M64" s="7">
        <f t="shared" si="28"/>
        <v>3.0000000000000001E-3</v>
      </c>
      <c r="N64" s="7">
        <f t="shared" si="29"/>
        <v>6.0000000000000001E-3</v>
      </c>
      <c r="O64" s="7"/>
      <c r="P64" s="7"/>
    </row>
    <row r="65" spans="8:16" x14ac:dyDescent="0.3">
      <c r="H65" s="1">
        <v>4</v>
      </c>
      <c r="I65" s="1">
        <f t="shared" si="30"/>
        <v>3.2</v>
      </c>
      <c r="J65" s="7">
        <v>0</v>
      </c>
      <c r="K65" s="7">
        <v>5.0000000000000001E-4</v>
      </c>
      <c r="L65" s="7">
        <v>1.5E-3</v>
      </c>
      <c r="M65" s="7">
        <f t="shared" si="28"/>
        <v>3.0000000000000001E-3</v>
      </c>
      <c r="N65" s="7">
        <f t="shared" si="29"/>
        <v>6.0000000000000001E-3</v>
      </c>
      <c r="O65" s="7"/>
      <c r="P65" s="7"/>
    </row>
    <row r="66" spans="8:16" x14ac:dyDescent="0.3">
      <c r="H66" s="1">
        <v>5</v>
      </c>
      <c r="I66" s="1">
        <f t="shared" si="30"/>
        <v>4</v>
      </c>
      <c r="J66" s="7">
        <v>0</v>
      </c>
      <c r="K66" s="7">
        <v>5.0000000000000001E-4</v>
      </c>
      <c r="L66" s="7">
        <v>1.5E-3</v>
      </c>
      <c r="M66" s="7">
        <f t="shared" si="28"/>
        <v>3.0000000000000001E-3</v>
      </c>
      <c r="N66" s="7">
        <f t="shared" si="29"/>
        <v>6.0000000000000001E-3</v>
      </c>
      <c r="O66" s="7"/>
      <c r="P66" s="7"/>
    </row>
    <row r="67" spans="8:16" x14ac:dyDescent="0.3">
      <c r="H67" s="1"/>
      <c r="I67" s="1"/>
      <c r="J67" s="7">
        <f>+SUMPRODUCT(J41:J46,$I$25:$I$30,J61:J66)</f>
        <v>0</v>
      </c>
      <c r="K67" s="7">
        <f t="shared" ref="K67:N67" si="31">+SUMPRODUCT(K41:K46,$I$25:$I$30,K61:K66)</f>
        <v>4.0000000000000002E-4</v>
      </c>
      <c r="L67" s="7">
        <f t="shared" si="31"/>
        <v>3.5999999999999999E-3</v>
      </c>
      <c r="M67" s="7">
        <f t="shared" si="31"/>
        <v>1.8E-3</v>
      </c>
      <c r="N67" s="7">
        <f t="shared" si="31"/>
        <v>0</v>
      </c>
      <c r="O67" s="8">
        <f>SUM(J67:N67)</f>
        <v>5.7999999999999996E-3</v>
      </c>
      <c r="P67" s="7"/>
    </row>
    <row r="68" spans="8:16" x14ac:dyDescent="0.3">
      <c r="H68" s="1"/>
      <c r="I68" s="1"/>
      <c r="J68" s="1"/>
      <c r="K68" s="1"/>
      <c r="L68" s="1"/>
      <c r="M68" s="1"/>
      <c r="N68" s="1"/>
      <c r="O68" s="1"/>
      <c r="P68" s="1"/>
    </row>
    <row r="69" spans="8:16" x14ac:dyDescent="0.3">
      <c r="H69" s="1" t="s">
        <v>11</v>
      </c>
      <c r="I69" s="1"/>
      <c r="J69" s="1"/>
      <c r="K69" s="1"/>
      <c r="L69" s="1"/>
      <c r="M69" s="1"/>
      <c r="N69" s="1"/>
      <c r="O69" s="1"/>
      <c r="P69" s="1"/>
    </row>
    <row r="70" spans="8:16" x14ac:dyDescent="0.3">
      <c r="H70" s="1"/>
      <c r="I70" s="1" t="s">
        <v>12</v>
      </c>
      <c r="J70" s="2">
        <v>1</v>
      </c>
      <c r="K70" s="2">
        <v>1</v>
      </c>
      <c r="L70" s="2">
        <v>0.85</v>
      </c>
      <c r="M70" s="2">
        <v>0.6</v>
      </c>
      <c r="N70" s="2">
        <v>0.4</v>
      </c>
      <c r="O70" s="9">
        <f>+SUMPRODUCT($J$31:$N$31,J70:N70)</f>
        <v>5.2018000000000012E-3</v>
      </c>
      <c r="P70" s="1"/>
    </row>
    <row r="71" spans="8:16" x14ac:dyDescent="0.3">
      <c r="H71" s="1"/>
      <c r="I71" s="1" t="s">
        <v>13</v>
      </c>
      <c r="J71" s="2">
        <f>100%-J70</f>
        <v>0</v>
      </c>
      <c r="K71" s="2">
        <f t="shared" ref="K71:N71" si="32">100%-K70</f>
        <v>0</v>
      </c>
      <c r="L71" s="2">
        <f t="shared" si="32"/>
        <v>0.15000000000000002</v>
      </c>
      <c r="M71" s="2">
        <f t="shared" si="32"/>
        <v>0.4</v>
      </c>
      <c r="N71" s="2">
        <f t="shared" si="32"/>
        <v>0.6</v>
      </c>
      <c r="O71" s="10">
        <f>+SUMPRODUCT(J67:N67,J71:N71)</f>
        <v>1.2600000000000003E-3</v>
      </c>
      <c r="P71" s="1"/>
    </row>
    <row r="72" spans="8:16" x14ac:dyDescent="0.3">
      <c r="H72" s="1"/>
      <c r="I72" s="1"/>
      <c r="J72" s="1"/>
      <c r="K72" s="1"/>
      <c r="L72" s="1"/>
      <c r="M72" s="1"/>
      <c r="N72" s="1"/>
      <c r="O72" s="7">
        <f>SUM(O70:O71)</f>
        <v>6.4618000000000019E-3</v>
      </c>
      <c r="P72" s="1"/>
    </row>
    <row r="75" spans="8:16" x14ac:dyDescent="0.3">
      <c r="H75" s="1"/>
      <c r="I75" s="1" t="s">
        <v>6</v>
      </c>
      <c r="J75" s="1" t="s">
        <v>14</v>
      </c>
      <c r="K75" s="1" t="s">
        <v>15</v>
      </c>
    </row>
    <row r="76" spans="8:16" x14ac:dyDescent="0.3">
      <c r="H76" s="1">
        <v>1</v>
      </c>
      <c r="I76" s="7">
        <v>0</v>
      </c>
      <c r="J76" s="7">
        <v>5.0000000000000001E-4</v>
      </c>
      <c r="K76" s="8">
        <v>2E-3</v>
      </c>
    </row>
    <row r="77" spans="8:16" x14ac:dyDescent="0.3">
      <c r="H77" s="1">
        <v>2</v>
      </c>
      <c r="I77" s="7">
        <v>5.0000000000000001E-4</v>
      </c>
      <c r="J77" s="8">
        <v>1E-3</v>
      </c>
      <c r="K77" s="8">
        <v>4.0000000000000001E-3</v>
      </c>
    </row>
    <row r="78" spans="8:16" x14ac:dyDescent="0.3">
      <c r="H78" s="1">
        <v>3</v>
      </c>
      <c r="I78" s="8">
        <v>1E-3</v>
      </c>
      <c r="J78" s="8">
        <v>2E-3</v>
      </c>
      <c r="K78" s="8">
        <v>6.0000000000000001E-3</v>
      </c>
      <c r="L78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Tripathi</dc:creator>
  <cp:lastModifiedBy>B. M. Kini</cp:lastModifiedBy>
  <dcterms:created xsi:type="dcterms:W3CDTF">2021-06-21T12:14:31Z</dcterms:created>
  <dcterms:modified xsi:type="dcterms:W3CDTF">2022-03-23T13:41:58Z</dcterms:modified>
</cp:coreProperties>
</file>